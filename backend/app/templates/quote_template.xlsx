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28680" yWindow="-270" windowWidth="29040" windowHeight="16440"/>
  </bookViews>
  <sheets>
    <sheet name="구조검토" sheetId="2" r:id="rId1"/>
  </sheets>
  <definedNames>
    <definedName name="_xlnm.Print_Area" localSheetId="0">구조검토!$A$1:$L$39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2" l="1"/>
  <c r="K18" i="2" s="1"/>
  <c r="E19" i="2"/>
  <c r="E18" i="2"/>
  <c r="D12" i="2"/>
  <c r="K20" i="2" l="1"/>
  <c r="E20" i="2"/>
  <c r="P28" i="2"/>
  <c r="K23" i="2"/>
  <c r="K24" i="2" s="1"/>
  <c r="K25" i="2" l="1"/>
  <c r="K26" i="2" s="1"/>
  <c r="K27" i="2" s="1"/>
  <c r="K28" i="2" s="1"/>
  <c r="K29" i="2" s="1"/>
  <c r="K30" i="2" l="1"/>
  <c r="D10" i="2" s="1"/>
  <c r="Q28" i="2" l="1"/>
</calcChain>
</file>

<file path=xl/comments1.xml><?xml version="1.0" encoding="utf-8"?>
<comments xmlns="http://schemas.openxmlformats.org/spreadsheetml/2006/main">
  <authors>
    <author>tc={007B009D-007B-4201-A673-00DF003900FE}</author>
    <author>tc={00BF0088-0053-4BFF-8001-009D000500B4}</author>
    <author>tc={00C00060-0085-4D42-B4D5-009C001F002F}</author>
  </authors>
  <commentList>
    <comment ref="D9" authorId="0">
      <text>
        <r>
          <rPr>
            <b/>
            <sz val="9"/>
            <rFont val="Tahoma"/>
            <family val="2"/>
          </rPr>
          <t>Windows 사용자:</t>
        </r>
        <r>
          <rPr>
            <sz val="9"/>
            <rFont val="Tahoma"/>
            <family val="2"/>
          </rPr>
          <t xml:space="preserve">
    구조분류                    요율                            비고
 주거용 아파트                 0.80                        30층 이하
                                     1.00                        30층 초과
 철근콘크리트구조            1.00                              -
 강구조(철골구조)            1.20                              -
 하중전이구조                  1.25                              -
 PC구조, 복합구조            1.25                              -
 플랜트구조(1)                1.25                      일반산업시설
 플랜트구조(2)                1.50                      원자력발전시설 
 특수구조(1)            1.5 이상 협의 적용         PEB구조, 막구조
 특수구조(2)            1.5 이상 협의 적용     스페이스 프레임 구조 등
</t>
        </r>
      </text>
    </comment>
    <comment ref="H16" authorId="1">
      <text>
        <r>
          <rPr>
            <b/>
            <sz val="9"/>
            <rFont val="Tahoma"/>
            <family val="2"/>
          </rPr>
          <t>Windows 사용자:</t>
        </r>
        <r>
          <rPr>
            <sz val="9"/>
            <rFont val="Tahoma"/>
            <family val="2"/>
          </rPr>
          <t xml:space="preserve">
   1종 (단순) : 0.9           2종 (보통) : 1.0             3종 (복잡) : 1.1
 - 가설건축물                 - 공장                            - 운동시설
 - 공장(단순)                 - 공작물                          - 문화 및 집회시설
 - 창고시설(단순)           - 창고시설                       - 의료시설
 - 자동차관련시설           - 공동주택                       - 공공용시설(보통의 공종의 시설 제외)
 - 동물 및 식물관련시설   - 제1종 근린생활시설        - 판매 및 영업시설(보통의 공종의 시설 제외)
                                   - 제2종 근린생활시설        - 분뇨 및 쓰레기처리시설
                                   - 교육연구 및 복지시설      - 관광휴게시설(관망탑에 한함)
                                   - 묘지관련시설                 - 플랜트
                                   - 업무시설
                                   - 숙박시설
                                   - 공공용시설
                                      (교도소, 감화원, 군사시설에 한함)
                                   - 판매 및 영업시설
                                      (도매․소매시장, 상점)
                                   - 관광휴게시설
                                   - 위락시설
                                   - 위험물저장 및 처리시설
                                   - 기타 단순한 공종, 복잡한 공종에 
                                     해당하지 아니한 시설
</t>
        </r>
      </text>
    </comment>
    <comment ref="H17" authorId="2">
      <text>
        <r>
          <rPr>
            <b/>
            <sz val="9"/>
            <rFont val="Tahoma"/>
            <family val="2"/>
          </rPr>
          <t>Windows 사용자:</t>
        </r>
        <r>
          <rPr>
            <sz val="9"/>
            <rFont val="Tahoma"/>
            <family val="2"/>
          </rPr>
          <t xml:space="preserve">
    구조분류                    요율                            비고
 주거용 아파트                 0.80                        30층 이하
                                     1.00                        30층 초과
 철근콘크리트구조            1.00                              -
 강구조(철골구조)            1.20                              -
 하중전이구조                  1.25                              -
 PC구조, 복합구조            1.25                              -
 플랜트구조(1)                1.25                      일반산업시설
 플랜트구조(2)                1.50                      원자력발전시설 
 특수구조(1)            1.5 이상 협의 적용         PEB구조, 막구조
 특수구조(2)            1.5 이상 협의 적용     스페이스 프레임 구조 등
</t>
        </r>
      </text>
    </comment>
  </commentList>
</comments>
</file>

<file path=xl/sharedStrings.xml><?xml version="1.0" encoding="utf-8"?>
<sst xmlns="http://schemas.openxmlformats.org/spreadsheetml/2006/main" count="79" uniqueCount="77">
  <si>
    <t xml:space="preserve"> DONG YANG CONSULTING ENGINEERS CO.,LTD.</t>
  </si>
  <si>
    <t xml:space="preserve">   Home Page : www.dyceworld.com</t>
  </si>
  <si>
    <t>서울시 송파구 법원로11길11 현대지식산업센터 A동 707호</t>
  </si>
  <si>
    <t xml:space="preserve">  철근콘크리트구조, 철골구조, 철골-철근콘크리트구조</t>
  </si>
  <si>
    <t>(직접인건비+제경비)×20% (⑦=(①+⑥)×0.2)</t>
  </si>
  <si>
    <t>8&gt; 특이 사항</t>
  </si>
  <si>
    <t>25,000원/일 x</t>
  </si>
  <si>
    <t>직  접   경  비</t>
  </si>
  <si>
    <t>직 접 인 건 비</t>
  </si>
  <si>
    <t>층       수</t>
  </si>
  <si>
    <t>7&gt; 지불 방법</t>
  </si>
  <si>
    <t>건축물의 종별 구분 및 요율 :</t>
  </si>
  <si>
    <t>1식</t>
  </si>
  <si>
    <t>인.일</t>
  </si>
  <si>
    <t>인</t>
  </si>
  <si>
    <t xml:space="preserve"> </t>
  </si>
  <si>
    <t xml:space="preserve">  강구조(철골구조)</t>
  </si>
  <si>
    <t xml:space="preserve">  하중전이구조</t>
  </si>
  <si>
    <t xml:space="preserve">  철근콘크리트구조</t>
  </si>
  <si>
    <t>5&gt; 용  역  비</t>
  </si>
  <si>
    <t>금   액  (원)</t>
  </si>
  <si>
    <t>1&gt; 용  역  명</t>
  </si>
  <si>
    <t>6&gt; 용역 내역</t>
  </si>
  <si>
    <r>
      <t xml:space="preserve">절 삭 </t>
    </r>
    <r>
      <rPr>
        <sz val="8"/>
        <color rgb="FF000000"/>
        <rFont val="맑은 고딕"/>
        <family val="3"/>
        <charset val="129"/>
      </rPr>
      <t>(⑩)</t>
    </r>
  </si>
  <si>
    <t>작업 기준인원</t>
  </si>
  <si>
    <t>문 서 번 호</t>
  </si>
  <si>
    <t>% +⑤)</t>
  </si>
  <si>
    <t>실투입 인원은</t>
  </si>
  <si>
    <t xml:space="preserve">  특수구조</t>
  </si>
  <si>
    <t>참     조</t>
  </si>
  <si>
    <t>항   목</t>
  </si>
  <si>
    <t>전     화</t>
  </si>
  <si>
    <t xml:space="preserve">  플랜트구조</t>
  </si>
  <si>
    <t>수     신</t>
  </si>
  <si>
    <t>E-mail</t>
  </si>
  <si>
    <t xml:space="preserve">       건 축 구 조 기 술 사</t>
  </si>
  <si>
    <t>직접인건비×110% (⑥=①×1.1)</t>
  </si>
  <si>
    <r>
      <t xml:space="preserve">합 계 </t>
    </r>
    <r>
      <rPr>
        <sz val="8"/>
        <color rgb="FF000000"/>
        <rFont val="맑은 고딕"/>
        <family val="3"/>
        <charset val="129"/>
      </rPr>
      <t>(직접경비 제외, ⑧=①+⑥+⑦)</t>
    </r>
  </si>
  <si>
    <t xml:space="preserve"> 【국토교통부 지정 안전진단 전문기관 제15호】</t>
  </si>
  <si>
    <t>구  조  설 계   용  역   견  적  서</t>
  </si>
  <si>
    <t>(株)    東     洋     構     造</t>
  </si>
  <si>
    <t xml:space="preserve">       대     표     이     사</t>
  </si>
  <si>
    <t>(TEL.:549-4566(代), FAX.:547-1263 / 4)</t>
  </si>
  <si>
    <t>2&gt; 위       치</t>
  </si>
  <si>
    <t>산   출   내   역</t>
  </si>
  <si>
    <t xml:space="preserve">  철근콘크리트조(벽식구조)</t>
  </si>
  <si>
    <t xml:space="preserve">3&gt; 규       모 </t>
  </si>
  <si>
    <t xml:space="preserve">  PC구조, 복합구조</t>
  </si>
  <si>
    <t>4&gt; 구       조</t>
  </si>
  <si>
    <t>제     경     비</t>
  </si>
  <si>
    <t xml:space="preserve">  구조방식 별 요율 :</t>
  </si>
  <si>
    <t>기     술     료</t>
  </si>
  <si>
    <t xml:space="preserve">(고급기술자)으로 함. </t>
  </si>
  <si>
    <r>
      <t>교   통   비</t>
    </r>
    <r>
      <rPr>
        <sz val="8"/>
        <color rgb="FF000000"/>
        <rFont val="맑은 고딕"/>
        <family val="3"/>
        <charset val="129"/>
      </rPr>
      <t>(④)</t>
    </r>
  </si>
  <si>
    <r>
      <t>소 계</t>
    </r>
    <r>
      <rPr>
        <sz val="8"/>
        <color rgb="FF000000"/>
        <rFont val="맑은 고딕"/>
        <family val="3"/>
        <charset val="129"/>
      </rPr>
      <t xml:space="preserve"> (⑤=②+③+④)</t>
    </r>
  </si>
  <si>
    <r>
      <t xml:space="preserve">당사 조정 금액 </t>
    </r>
    <r>
      <rPr>
        <sz val="8"/>
        <color rgb="FF000000"/>
        <rFont val="맑은 고딕"/>
        <family val="3"/>
        <charset val="129"/>
      </rPr>
      <t>(⑨=⑧×</t>
    </r>
  </si>
  <si>
    <r>
      <t xml:space="preserve">용 역 대 가 </t>
    </r>
    <r>
      <rPr>
        <sz val="8"/>
        <color rgb="FF000000"/>
        <rFont val="맑은 고딕"/>
        <family val="3"/>
        <charset val="129"/>
      </rPr>
      <t>(⑪=⑨-⑩)</t>
    </r>
  </si>
  <si>
    <r>
      <t xml:space="preserve">  김  효  진   </t>
    </r>
    <r>
      <rPr>
        <sz val="10"/>
        <color rgb="FF000000"/>
        <rFont val="HY중고딕"/>
        <family val="1"/>
        <charset val="129"/>
      </rPr>
      <t>(인)</t>
    </r>
  </si>
  <si>
    <r>
      <t>보고서인쇄비(</t>
    </r>
    <r>
      <rPr>
        <sz val="8"/>
        <color rgb="FF000000"/>
        <rFont val="맑은 고딕"/>
        <family val="3"/>
        <charset val="129"/>
      </rPr>
      <t>②)</t>
    </r>
  </si>
  <si>
    <r>
      <t>추가조사비</t>
    </r>
    <r>
      <rPr>
        <sz val="8"/>
        <color rgb="FF000000"/>
        <rFont val="맑은 고딕"/>
        <family val="3"/>
        <charset val="129"/>
      </rPr>
      <t>(③)</t>
    </r>
  </si>
  <si>
    <t xml:space="preserve"> 쌍방의 협의에 의함.</t>
    <phoneticPr fontId="18" type="noConversion"/>
  </si>
  <si>
    <t xml:space="preserve">  건축물 연면적 : </t>
  </si>
  <si>
    <r>
      <t>m</t>
    </r>
    <r>
      <rPr>
        <vertAlign val="superscript"/>
        <sz val="10"/>
        <rFont val="맑은 고딕"/>
        <family val="3"/>
        <charset val="129"/>
      </rPr>
      <t>2</t>
    </r>
  </si>
  <si>
    <r>
      <rPr>
        <sz val="9"/>
        <color indexed="64"/>
        <rFont val="돋움"/>
        <family val="3"/>
        <charset val="129"/>
      </rPr>
      <t>계수</t>
    </r>
    <r>
      <rPr>
        <sz val="9"/>
        <color indexed="64"/>
        <rFont val="Arial"/>
        <family val="2"/>
      </rPr>
      <t xml:space="preserve"> :</t>
    </r>
  </si>
  <si>
    <r>
      <t xml:space="preserve">                       (</t>
    </r>
    <r>
      <rPr>
        <sz val="9"/>
        <color indexed="64"/>
        <rFont val="돋움"/>
        <family val="3"/>
        <charset val="129"/>
      </rPr>
      <t>건축물에</t>
    </r>
    <r>
      <rPr>
        <sz val="9"/>
        <color indexed="64"/>
        <rFont val="Arial"/>
        <family val="2"/>
      </rPr>
      <t xml:space="preserve"> </t>
    </r>
    <r>
      <rPr>
        <sz val="9"/>
        <color indexed="64"/>
        <rFont val="돋움"/>
        <family val="3"/>
        <charset val="129"/>
      </rPr>
      <t>대한</t>
    </r>
    <r>
      <rPr>
        <sz val="9"/>
        <color indexed="64"/>
        <rFont val="Arial"/>
        <family val="2"/>
      </rPr>
      <t xml:space="preserve"> </t>
    </r>
    <r>
      <rPr>
        <sz val="9"/>
        <color indexed="64"/>
        <rFont val="돋움"/>
        <family val="3"/>
        <charset val="129"/>
      </rPr>
      <t>구조설계</t>
    </r>
    <r>
      <rPr>
        <sz val="9"/>
        <color indexed="64"/>
        <rFont val="Arial"/>
        <family val="2"/>
      </rPr>
      <t>)</t>
    </r>
    <phoneticPr fontId="18" type="noConversion"/>
  </si>
  <si>
    <t xml:space="preserve">  ※ 주 기 : 의문사항이나 불명확한 내용에 대해서는 즉시 담당자에게 연락바랍니다. 담당자 : 서 동 균 상무</t>
    <phoneticPr fontId="18" type="noConversion"/>
  </si>
  <si>
    <t xml:space="preserve"> 26 - 01 - 007</t>
    <phoneticPr fontId="18" type="noConversion"/>
  </si>
  <si>
    <t>(주)건축사사무소 에스파스</t>
    <phoneticPr fontId="20" type="noConversion"/>
  </si>
  <si>
    <t>강 현 우 부장님</t>
    <phoneticPr fontId="20" type="noConversion"/>
  </si>
  <si>
    <t>070 5015 6413</t>
    <phoneticPr fontId="20" type="noConversion"/>
  </si>
  <si>
    <t>gofive99@naver.com</t>
    <phoneticPr fontId="18" type="noConversion"/>
  </si>
  <si>
    <t>한국전력공사 서일산 복합변전소 신축공사</t>
    <phoneticPr fontId="20" type="noConversion"/>
  </si>
  <si>
    <t>경기도 고양시 일산서구 대화동 1934-52번지 일원</t>
    <phoneticPr fontId="20" type="noConversion"/>
  </si>
  <si>
    <t>지하1층/지상3층</t>
    <phoneticPr fontId="20" type="noConversion"/>
  </si>
  <si>
    <t>(건축물에 대한 구조설계 ₩15,000,000 / 비구조 요소 내진설계 ₩10,000,000)</t>
    <phoneticPr fontId="18" type="noConversion"/>
  </si>
  <si>
    <t xml:space="preserve"> 구조도면 작성 업무 제외함.
 건축 비구조 요소 내진설계 검토 포함.
 (비보강조적벽체, 파라펫, 외부치장벽돌, 치장마감석재 각각 1 Type 검토 기준)
 비구조 요소 검토 Type 증가시 1 Type 당 ₩1,500,000 검토비 증액 필요.
 본 견적서는 상호협의하에 조정할 수 있음.</t>
    <phoneticPr fontId="18" type="noConversion"/>
  </si>
  <si>
    <t xml:space="preserve">            2026. 01. 12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</si>
</sst>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0.00_ "/>
    <numFmt numFmtId="178" formatCode="0.0_ "/>
    <numFmt numFmtId="179" formatCode="0.0\ &quot;인.일&quot;"/>
  </numFmts>
  <fonts count="39" x14ac:knownFonts="1">
    <font>
      <sz val="11"/>
      <color rgb="FF000000"/>
      <name val="맑은 고딕"/>
    </font>
    <font>
      <sz val="10"/>
      <color rgb="FF000000"/>
      <name val="HY중고딕"/>
      <family val="1"/>
      <charset val="129"/>
    </font>
    <font>
      <b/>
      <sz val="10"/>
      <color rgb="FF000000"/>
      <name val="HY중고딕"/>
      <family val="1"/>
      <charset val="129"/>
    </font>
    <font>
      <b/>
      <u/>
      <sz val="10"/>
      <color rgb="FF000000"/>
      <name val="HY중고딕"/>
      <family val="1"/>
      <charset val="129"/>
    </font>
    <font>
      <sz val="10"/>
      <color rgb="FF000000"/>
      <name val="Arial"/>
      <family val="2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3366"/>
      <name val="맑은 고딕"/>
      <family val="3"/>
      <charset val="129"/>
    </font>
    <font>
      <sz val="9"/>
      <color rgb="FF003366"/>
      <name val="맑은 고딕"/>
      <family val="3"/>
      <charset val="129"/>
    </font>
    <font>
      <sz val="11"/>
      <color rgb="FF000000"/>
      <name val="HY중고딕"/>
      <family val="1"/>
      <charset val="129"/>
    </font>
    <font>
      <b/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u/>
      <sz val="10"/>
      <color rgb="FF000000"/>
      <name val="맑은 고딕"/>
      <family val="3"/>
      <charset val="129"/>
    </font>
    <font>
      <b/>
      <sz val="9"/>
      <color rgb="FF000000"/>
      <name val="HY중고딕"/>
      <family val="1"/>
      <charset val="129"/>
    </font>
    <font>
      <b/>
      <sz val="12"/>
      <color rgb="FF000000"/>
      <name val="HY중고딕"/>
      <family val="1"/>
      <charset val="129"/>
    </font>
    <font>
      <b/>
      <sz val="18"/>
      <color rgb="FF000000"/>
      <name val="HY견고딕"/>
      <family val="1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indexed="5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맑은 고딕"/>
      <family val="3"/>
      <charset val="129"/>
    </font>
    <font>
      <sz val="10"/>
      <color indexed="56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4"/>
      <name val="돋움"/>
      <family val="3"/>
      <charset val="129"/>
    </font>
    <font>
      <sz val="11"/>
      <color indexed="64"/>
      <name val="Arial"/>
      <family val="2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vertAlign val="superscript"/>
      <sz val="10"/>
      <name val="맑은 고딕"/>
      <family val="3"/>
      <charset val="129"/>
    </font>
    <font>
      <sz val="9"/>
      <color indexed="64"/>
      <name val="맑은 고딕"/>
      <family val="3"/>
      <charset val="129"/>
    </font>
    <font>
      <sz val="10"/>
      <color theme="3"/>
      <name val="맑은 고딕"/>
      <family val="3"/>
      <charset val="129"/>
    </font>
    <font>
      <b/>
      <sz val="9"/>
      <name val="Tahoma"/>
      <family val="2"/>
    </font>
    <font>
      <sz val="9"/>
      <name val="Tahoma"/>
      <family val="2"/>
    </font>
    <font>
      <sz val="9"/>
      <color indexed="64"/>
      <name val="Arial"/>
      <family val="2"/>
    </font>
    <font>
      <sz val="9"/>
      <color indexed="64"/>
      <name val="돋움"/>
      <family val="3"/>
      <charset val="129"/>
    </font>
    <font>
      <sz val="10"/>
      <color indexed="56"/>
      <name val="Arial"/>
      <family val="2"/>
    </font>
    <font>
      <sz val="9"/>
      <color indexed="56"/>
      <name val="맑은 고딕"/>
      <family val="3"/>
      <charset val="129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5"/>
      </patternFill>
    </fill>
    <fill>
      <patternFill patternType="solid">
        <fgColor indexed="65"/>
      </patternFill>
    </fill>
  </fills>
  <borders count="6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>
      <alignment vertical="center"/>
    </xf>
  </cellStyleXfs>
  <cellXfs count="1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3" xfId="0" applyFont="1" applyBorder="1" applyAlignment="1">
      <alignment vertical="center" wrapText="1"/>
    </xf>
    <xf numFmtId="3" fontId="0" fillId="0" borderId="0" xfId="0" applyNumberFormat="1">
      <alignment vertical="center"/>
    </xf>
    <xf numFmtId="1" fontId="7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right" vertical="center" wrapText="1"/>
    </xf>
    <xf numFmtId="176" fontId="27" fillId="0" borderId="32" xfId="0" applyNumberFormat="1" applyFont="1" applyBorder="1" applyAlignment="1">
      <alignment horizontal="right" vertical="center" wrapText="1"/>
    </xf>
    <xf numFmtId="176" fontId="28" fillId="0" borderId="32" xfId="0" applyNumberFormat="1" applyFont="1" applyBorder="1" applyAlignment="1">
      <alignment vertical="center" wrapText="1"/>
    </xf>
    <xf numFmtId="0" fontId="21" fillId="0" borderId="33" xfId="0" applyFont="1" applyBorder="1" applyAlignment="1">
      <alignment horizontal="center" vertical="center" shrinkToFit="1"/>
    </xf>
    <xf numFmtId="0" fontId="28" fillId="0" borderId="43" xfId="0" applyFont="1" applyBorder="1" applyAlignment="1">
      <alignment vertical="center" wrapText="1"/>
    </xf>
    <xf numFmtId="0" fontId="28" fillId="0" borderId="44" xfId="0" applyFont="1" applyBorder="1" applyAlignment="1">
      <alignment vertical="center" wrapText="1"/>
    </xf>
    <xf numFmtId="0" fontId="34" fillId="0" borderId="46" xfId="0" applyFont="1" applyBorder="1" applyAlignment="1">
      <alignment horizontal="right" wrapText="1"/>
    </xf>
    <xf numFmtId="178" fontId="36" fillId="0" borderId="46" xfId="0" applyNumberFormat="1" applyFont="1" applyBorder="1" applyAlignment="1">
      <alignment wrapText="1"/>
    </xf>
    <xf numFmtId="0" fontId="34" fillId="0" borderId="46" xfId="0" applyFont="1" applyBorder="1" applyAlignment="1">
      <alignment wrapText="1"/>
    </xf>
    <xf numFmtId="0" fontId="34" fillId="0" borderId="47" xfId="0" applyFont="1" applyBorder="1" applyAlignment="1">
      <alignment wrapText="1"/>
    </xf>
    <xf numFmtId="177" fontId="37" fillId="6" borderId="46" xfId="0" applyNumberFormat="1" applyFont="1" applyFill="1" applyBorder="1" applyAlignment="1">
      <alignment horizontal="left" wrapText="1"/>
    </xf>
    <xf numFmtId="177" fontId="21" fillId="6" borderId="46" xfId="0" applyNumberFormat="1" applyFont="1" applyFill="1" applyBorder="1" applyAlignment="1">
      <alignment horizontal="left" wrapText="1"/>
    </xf>
    <xf numFmtId="0" fontId="21" fillId="6" borderId="53" xfId="0" applyFont="1" applyFill="1" applyBorder="1" applyAlignment="1">
      <alignment wrapText="1"/>
    </xf>
    <xf numFmtId="177" fontId="37" fillId="0" borderId="0" xfId="0" applyNumberFormat="1" applyFont="1" applyAlignment="1">
      <alignment horizontal="left" vertical="center" wrapText="1"/>
    </xf>
    <xf numFmtId="177" fontId="21" fillId="0" borderId="0" xfId="0" applyNumberFormat="1" applyFont="1" applyAlignment="1">
      <alignment horizontal="left" vertical="center" wrapText="1"/>
    </xf>
    <xf numFmtId="0" fontId="21" fillId="0" borderId="54" xfId="0" applyFont="1" applyBorder="1" applyAlignment="1">
      <alignment vertical="center" wrapText="1"/>
    </xf>
    <xf numFmtId="0" fontId="30" fillId="0" borderId="49" xfId="0" applyFont="1" applyBorder="1" applyAlignment="1">
      <alignment vertical="center" wrapText="1"/>
    </xf>
    <xf numFmtId="0" fontId="38" fillId="0" borderId="55" xfId="0" applyFont="1" applyBorder="1" applyAlignment="1">
      <alignment vertical="center" wrapText="1"/>
    </xf>
    <xf numFmtId="0" fontId="9" fillId="0" borderId="8" xfId="0" applyFont="1" applyBorder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9" fillId="0" borderId="0" xfId="0" applyFont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 shrinkToFit="1"/>
    </xf>
    <xf numFmtId="0" fontId="1" fillId="3" borderId="16" xfId="0" applyFont="1" applyFill="1" applyBorder="1" applyAlignment="1">
      <alignment horizontal="center" vertical="center" shrinkToFit="1"/>
    </xf>
    <xf numFmtId="0" fontId="1" fillId="3" borderId="17" xfId="0" applyFont="1" applyFill="1" applyBorder="1" applyAlignment="1">
      <alignment horizontal="center" vertical="center" shrinkToFit="1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right" vertical="center" wrapText="1"/>
    </xf>
    <xf numFmtId="0" fontId="14" fillId="0" borderId="0" xfId="0" applyFont="1" applyAlignment="1">
      <alignment horizontal="left" wrapText="1"/>
    </xf>
    <xf numFmtId="0" fontId="13" fillId="0" borderId="0" xfId="0" applyFont="1" applyAlignment="1">
      <alignment horizontal="right" vertical="center" indent="1" shrinkToFit="1"/>
    </xf>
    <xf numFmtId="0" fontId="13" fillId="0" borderId="1" xfId="0" applyFont="1" applyBorder="1" applyAlignment="1">
      <alignment horizontal="right" vertical="center" indent="1" shrinkToFit="1"/>
    </xf>
    <xf numFmtId="0" fontId="10" fillId="0" borderId="0" xfId="0" applyFont="1" applyAlignment="1">
      <alignment horizontal="left" vertical="center" shrinkToFit="1"/>
    </xf>
    <xf numFmtId="0" fontId="13" fillId="0" borderId="0" xfId="0" applyFont="1" applyAlignment="1">
      <alignment horizontal="right" vertical="center" wrapText="1" indent="1"/>
    </xf>
    <xf numFmtId="0" fontId="13" fillId="0" borderId="1" xfId="0" applyFont="1" applyBorder="1" applyAlignment="1">
      <alignment horizontal="right" vertical="center" wrapText="1" indent="1"/>
    </xf>
    <xf numFmtId="0" fontId="6" fillId="3" borderId="10" xfId="0" applyFont="1" applyFill="1" applyBorder="1" applyAlignment="1">
      <alignment horizontal="justify" vertical="center" wrapText="1"/>
    </xf>
    <xf numFmtId="0" fontId="6" fillId="3" borderId="7" xfId="0" applyFont="1" applyFill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22" xfId="0" applyFont="1" applyBorder="1" applyAlignment="1">
      <alignment horizontal="justify" vertical="center" wrapText="1"/>
    </xf>
    <xf numFmtId="0" fontId="6" fillId="3" borderId="13" xfId="0" applyFont="1" applyFill="1" applyBorder="1" applyAlignment="1">
      <alignment horizontal="justify" vertical="center" wrapText="1"/>
    </xf>
    <xf numFmtId="0" fontId="6" fillId="3" borderId="14" xfId="0" applyFont="1" applyFill="1" applyBorder="1" applyAlignment="1">
      <alignment horizontal="justify" vertical="center" wrapText="1"/>
    </xf>
    <xf numFmtId="0" fontId="6" fillId="0" borderId="15" xfId="0" applyFont="1" applyBorder="1" applyAlignment="1">
      <alignment horizontal="justify" vertical="center" wrapText="1"/>
    </xf>
    <xf numFmtId="0" fontId="11" fillId="0" borderId="16" xfId="0" applyFont="1" applyBorder="1" applyAlignment="1">
      <alignment horizontal="justify" vertical="center" wrapText="1"/>
    </xf>
    <xf numFmtId="0" fontId="11" fillId="0" borderId="17" xfId="0" applyFont="1" applyBorder="1" applyAlignment="1">
      <alignment horizontal="justify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 wrapText="1" indent="1"/>
    </xf>
    <xf numFmtId="3" fontId="6" fillId="0" borderId="11" xfId="0" applyNumberFormat="1" applyFont="1" applyBorder="1" applyAlignment="1">
      <alignment horizontal="right" vertical="center" wrapText="1" indent="1"/>
    </xf>
    <xf numFmtId="0" fontId="6" fillId="0" borderId="7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3" fontId="11" fillId="3" borderId="5" xfId="0" applyNumberFormat="1" applyFont="1" applyFill="1" applyBorder="1" applyAlignment="1">
      <alignment horizontal="right" vertical="center" wrapText="1" indent="1"/>
    </xf>
    <xf numFmtId="3" fontId="11" fillId="3" borderId="11" xfId="0" applyNumberFormat="1" applyFont="1" applyFill="1" applyBorder="1" applyAlignment="1">
      <alignment horizontal="righ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right" vertical="center" wrapText="1" indent="1"/>
    </xf>
    <xf numFmtId="3" fontId="7" fillId="0" borderId="11" xfId="0" applyNumberFormat="1" applyFont="1" applyBorder="1" applyAlignment="1">
      <alignment horizontal="right" vertical="center" wrapText="1" indent="1"/>
    </xf>
    <xf numFmtId="0" fontId="6" fillId="0" borderId="11" xfId="0" applyFont="1" applyBorder="1" applyAlignment="1">
      <alignment horizontal="right" vertical="center" wrapText="1" indent="1"/>
    </xf>
    <xf numFmtId="0" fontId="5" fillId="0" borderId="5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 indent="1"/>
    </xf>
    <xf numFmtId="0" fontId="5" fillId="0" borderId="2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left" wrapText="1"/>
    </xf>
    <xf numFmtId="0" fontId="34" fillId="0" borderId="46" xfId="0" applyFont="1" applyBorder="1" applyAlignment="1">
      <alignment horizontal="left" wrapText="1"/>
    </xf>
    <xf numFmtId="0" fontId="34" fillId="0" borderId="48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49" xfId="0" applyFont="1" applyBorder="1" applyAlignment="1">
      <alignment horizontal="left" vertical="center" wrapText="1"/>
    </xf>
    <xf numFmtId="0" fontId="34" fillId="0" borderId="50" xfId="0" quotePrefix="1" applyFont="1" applyBorder="1" applyAlignment="1">
      <alignment horizontal="justify" vertical="center" wrapText="1"/>
    </xf>
    <xf numFmtId="0" fontId="34" fillId="0" borderId="50" xfId="0" applyFont="1" applyBorder="1" applyAlignment="1">
      <alignment horizontal="justify" vertical="center" wrapText="1"/>
    </xf>
    <xf numFmtId="0" fontId="34" fillId="0" borderId="51" xfId="0" applyFont="1" applyBorder="1" applyAlignment="1">
      <alignment horizontal="justify" vertical="center" wrapText="1"/>
    </xf>
    <xf numFmtId="0" fontId="34" fillId="0" borderId="52" xfId="0" applyFont="1" applyBorder="1" applyAlignment="1">
      <alignment horizontal="justify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30" fillId="6" borderId="45" xfId="0" applyFont="1" applyFill="1" applyBorder="1" applyAlignment="1">
      <alignment horizontal="right" wrapText="1"/>
    </xf>
    <xf numFmtId="0" fontId="30" fillId="6" borderId="46" xfId="0" applyFont="1" applyFill="1" applyBorder="1" applyAlignment="1">
      <alignment horizontal="right" wrapText="1"/>
    </xf>
    <xf numFmtId="0" fontId="30" fillId="0" borderId="45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right" vertical="center" wrapText="1"/>
    </xf>
    <xf numFmtId="0" fontId="30" fillId="0" borderId="0" xfId="0" applyFont="1" applyAlignment="1">
      <alignment horizontal="right" vertical="center" wrapText="1"/>
    </xf>
    <xf numFmtId="0" fontId="30" fillId="0" borderId="48" xfId="0" applyFont="1" applyBorder="1" applyAlignment="1">
      <alignment horizontal="center" vertical="center" wrapText="1"/>
    </xf>
    <xf numFmtId="0" fontId="30" fillId="0" borderId="49" xfId="0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0" borderId="51" xfId="0" applyFont="1" applyBorder="1" applyAlignment="1">
      <alignment horizontal="right" vertical="center" wrapText="1"/>
    </xf>
    <xf numFmtId="0" fontId="38" fillId="0" borderId="43" xfId="0" applyFont="1" applyBorder="1" applyAlignment="1">
      <alignment horizontal="right" vertical="center" wrapText="1"/>
    </xf>
    <xf numFmtId="179" fontId="38" fillId="0" borderId="43" xfId="0" applyNumberFormat="1" applyFont="1" applyBorder="1" applyAlignment="1">
      <alignment horizontal="left" vertical="center" wrapText="1"/>
    </xf>
    <xf numFmtId="0" fontId="30" fillId="0" borderId="51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0" fillId="5" borderId="31" xfId="0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0" fontId="31" fillId="0" borderId="31" xfId="0" applyFont="1" applyBorder="1" applyAlignment="1">
      <alignment horizontal="left" vertical="center" wrapText="1"/>
    </xf>
    <xf numFmtId="0" fontId="31" fillId="0" borderId="32" xfId="0" applyFont="1" applyBorder="1" applyAlignment="1">
      <alignment horizontal="left" vertical="center" wrapText="1"/>
    </xf>
    <xf numFmtId="0" fontId="31" fillId="0" borderId="34" xfId="0" applyFont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left" vertical="center" wrapText="1" indent="1"/>
    </xf>
    <xf numFmtId="0" fontId="19" fillId="4" borderId="32" xfId="0" applyFont="1" applyFill="1" applyBorder="1" applyAlignment="1">
      <alignment horizontal="left" vertical="center" wrapText="1" indent="1"/>
    </xf>
    <xf numFmtId="0" fontId="21" fillId="4" borderId="31" xfId="0" applyFont="1" applyFill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2" fillId="4" borderId="32" xfId="0" applyFont="1" applyFill="1" applyBorder="1" applyAlignment="1">
      <alignment horizontal="left" vertical="center" wrapText="1"/>
    </xf>
    <xf numFmtId="0" fontId="22" fillId="4" borderId="34" xfId="0" applyFont="1" applyFill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 indent="1"/>
    </xf>
    <xf numFmtId="0" fontId="26" fillId="0" borderId="41" xfId="0" applyFont="1" applyBorder="1" applyAlignment="1">
      <alignment horizontal="left" vertical="center" wrapText="1" indent="1"/>
    </xf>
    <xf numFmtId="0" fontId="26" fillId="0" borderId="31" xfId="0" applyFont="1" applyBorder="1" applyAlignment="1">
      <alignment horizontal="left" vertical="center" wrapText="1" indent="1"/>
    </xf>
    <xf numFmtId="0" fontId="26" fillId="0" borderId="42" xfId="0" applyFont="1" applyBorder="1" applyAlignment="1">
      <alignment horizontal="left" vertical="center" wrapText="1" indent="1"/>
    </xf>
    <xf numFmtId="0" fontId="23" fillId="4" borderId="35" xfId="0" applyFont="1" applyFill="1" applyBorder="1" applyAlignment="1">
      <alignment horizontal="left" vertical="center" wrapText="1" indent="1"/>
    </xf>
    <xf numFmtId="0" fontId="23" fillId="4" borderId="36" xfId="0" applyFont="1" applyFill="1" applyBorder="1" applyAlignment="1">
      <alignment horizontal="left" vertical="center" wrapText="1" indent="1"/>
    </xf>
    <xf numFmtId="0" fontId="23" fillId="4" borderId="37" xfId="0" applyFont="1" applyFill="1" applyBorder="1" applyAlignment="1">
      <alignment horizontal="left" vertical="center" wrapText="1" indent="1"/>
    </xf>
    <xf numFmtId="0" fontId="21" fillId="4" borderId="35" xfId="0" applyFont="1" applyFill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shrinkToFit="1"/>
    </xf>
    <xf numFmtId="0" fontId="22" fillId="4" borderId="32" xfId="0" applyFont="1" applyFill="1" applyBorder="1" applyAlignment="1">
      <alignment horizontal="left" vertical="center" shrinkToFit="1"/>
    </xf>
    <xf numFmtId="0" fontId="22" fillId="4" borderId="34" xfId="0" applyFont="1" applyFill="1" applyBorder="1" applyAlignment="1">
      <alignment horizontal="left" vertical="center" shrinkToFit="1"/>
    </xf>
    <xf numFmtId="0" fontId="6" fillId="3" borderId="23" xfId="0" applyFont="1" applyFill="1" applyBorder="1" applyAlignment="1">
      <alignment horizontal="justify" vertical="center" wrapText="1"/>
    </xf>
    <xf numFmtId="0" fontId="6" fillId="3" borderId="24" xfId="0" applyFont="1" applyFill="1" applyBorder="1" applyAlignment="1">
      <alignment horizontal="justify" vertical="center" wrapText="1"/>
    </xf>
    <xf numFmtId="0" fontId="24" fillId="4" borderId="38" xfId="0" applyFont="1" applyFill="1" applyBorder="1" applyAlignment="1">
      <alignment horizontal="left" vertical="center" wrapText="1" indent="1"/>
    </xf>
    <xf numFmtId="0" fontId="24" fillId="4" borderId="39" xfId="0" applyFont="1" applyFill="1" applyBorder="1" applyAlignment="1">
      <alignment horizontal="left" vertical="center" wrapText="1" indent="1"/>
    </xf>
    <xf numFmtId="0" fontId="24" fillId="4" borderId="40" xfId="0" applyFont="1" applyFill="1" applyBorder="1" applyAlignment="1">
      <alignment horizontal="left" vertical="center" wrapText="1" indent="1"/>
    </xf>
    <xf numFmtId="0" fontId="6" fillId="3" borderId="56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12" fillId="3" borderId="58" xfId="0" applyFont="1" applyFill="1" applyBorder="1" applyAlignment="1">
      <alignment horizontal="center" vertical="center" wrapText="1"/>
    </xf>
    <xf numFmtId="0" fontId="12" fillId="3" borderId="59" xfId="0" applyFont="1" applyFill="1" applyBorder="1" applyAlignment="1">
      <alignment horizontal="center" vertical="center" wrapText="1"/>
    </xf>
  </cellXfs>
  <cellStyles count="4">
    <cellStyle name="쉼표 [0] 2 2" xfId="3"/>
    <cellStyle name="표준" xfId="0" builtinId="0"/>
    <cellStyle name="표준 2" xfId="1"/>
    <cellStyle name="표준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33</xdr:row>
      <xdr:rowOff>38100</xdr:rowOff>
    </xdr:from>
    <xdr:to>
      <xdr:col>2</xdr:col>
      <xdr:colOff>57150</xdr:colOff>
      <xdr:row>34</xdr:row>
      <xdr:rowOff>219075</xdr:rowOff>
    </xdr:to>
    <xdr:pic>
      <xdr:nvPicPr>
        <xdr:cNvPr id="2" name="그림 5" descr="MARK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76275" y="8715375"/>
          <a:ext cx="457200" cy="428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B1:Q40"/>
  <sheetViews>
    <sheetView showGridLines="0" tabSelected="1" view="pageBreakPreview" zoomScale="115" zoomScaleNormal="100" zoomScaleSheetLayoutView="115" workbookViewId="0">
      <selection activeCell="N35" sqref="N35"/>
    </sheetView>
  </sheetViews>
  <sheetFormatPr defaultColWidth="9" defaultRowHeight="16.5" x14ac:dyDescent="0.3"/>
  <cols>
    <col min="1" max="1" width="7.5" customWidth="1"/>
    <col min="2" max="2" width="6.625" customWidth="1"/>
    <col min="3" max="3" width="4.625" customWidth="1"/>
    <col min="4" max="4" width="13.25" customWidth="1"/>
    <col min="5" max="5" width="8.125" customWidth="1"/>
    <col min="6" max="6" width="4.375" customWidth="1"/>
    <col min="7" max="7" width="9.125" customWidth="1"/>
    <col min="8" max="8" width="4.625" customWidth="1"/>
    <col min="9" max="9" width="6.625" customWidth="1"/>
    <col min="10" max="10" width="3.625" customWidth="1"/>
    <col min="11" max="11" width="8.625" customWidth="1"/>
    <col min="12" max="12" width="9.625" customWidth="1"/>
    <col min="14" max="15" width="9" customWidth="1"/>
    <col min="16" max="16" width="9.5" bestFit="1" customWidth="1"/>
  </cols>
  <sheetData>
    <row r="1" spans="2:16" ht="10.5" customHeight="1" x14ac:dyDescent="0.3">
      <c r="B1" s="2"/>
    </row>
    <row r="2" spans="2:16" ht="21" customHeight="1" x14ac:dyDescent="0.3">
      <c r="B2" s="136" t="s">
        <v>25</v>
      </c>
      <c r="C2" s="137"/>
      <c r="D2" s="138" t="s">
        <v>39</v>
      </c>
      <c r="E2" s="138"/>
      <c r="F2" s="138"/>
      <c r="G2" s="138"/>
      <c r="H2" s="138"/>
      <c r="I2" s="138"/>
      <c r="J2" s="138"/>
      <c r="K2" s="139"/>
      <c r="L2" s="140"/>
    </row>
    <row r="3" spans="2:16" ht="21" customHeight="1" x14ac:dyDescent="0.3">
      <c r="B3" s="144" t="s">
        <v>66</v>
      </c>
      <c r="C3" s="145"/>
      <c r="D3" s="141"/>
      <c r="E3" s="141"/>
      <c r="F3" s="141"/>
      <c r="G3" s="141"/>
      <c r="H3" s="141"/>
      <c r="I3" s="141"/>
      <c r="J3" s="141"/>
      <c r="K3" s="142"/>
      <c r="L3" s="143"/>
    </row>
    <row r="4" spans="2:16" ht="21" customHeight="1" x14ac:dyDescent="0.3">
      <c r="B4" s="146" t="s">
        <v>33</v>
      </c>
      <c r="C4" s="103"/>
      <c r="D4" s="147" t="s">
        <v>67</v>
      </c>
      <c r="E4" s="148"/>
      <c r="F4" s="148"/>
      <c r="G4" s="148"/>
      <c r="H4" s="149" t="s">
        <v>31</v>
      </c>
      <c r="I4" s="150"/>
      <c r="J4" s="151" t="s">
        <v>69</v>
      </c>
      <c r="K4" s="152"/>
      <c r="L4" s="153"/>
    </row>
    <row r="5" spans="2:16" ht="21" customHeight="1" x14ac:dyDescent="0.3">
      <c r="B5" s="88" t="s">
        <v>29</v>
      </c>
      <c r="C5" s="89"/>
      <c r="D5" s="158" t="s">
        <v>68</v>
      </c>
      <c r="E5" s="159"/>
      <c r="F5" s="159"/>
      <c r="G5" s="160"/>
      <c r="H5" s="161" t="s">
        <v>34</v>
      </c>
      <c r="I5" s="162"/>
      <c r="J5" s="163" t="s">
        <v>70</v>
      </c>
      <c r="K5" s="164"/>
      <c r="L5" s="165"/>
    </row>
    <row r="6" spans="2:16" ht="24" customHeight="1" x14ac:dyDescent="0.3">
      <c r="B6" s="166" t="s">
        <v>21</v>
      </c>
      <c r="C6" s="167"/>
      <c r="D6" s="168" t="s">
        <v>71</v>
      </c>
      <c r="E6" s="168"/>
      <c r="F6" s="168"/>
      <c r="G6" s="168"/>
      <c r="H6" s="168"/>
      <c r="I6" s="168"/>
      <c r="J6" s="168"/>
      <c r="K6" s="169"/>
      <c r="L6" s="170"/>
    </row>
    <row r="7" spans="2:16" ht="21" customHeight="1" x14ac:dyDescent="0.3">
      <c r="B7" s="54" t="s">
        <v>43</v>
      </c>
      <c r="C7" s="55"/>
      <c r="D7" s="154" t="s">
        <v>72</v>
      </c>
      <c r="E7" s="155"/>
      <c r="F7" s="155"/>
      <c r="G7" s="155"/>
      <c r="H7" s="155"/>
      <c r="I7" s="155"/>
      <c r="J7" s="155"/>
      <c r="K7" s="156"/>
      <c r="L7" s="157"/>
    </row>
    <row r="8" spans="2:16" ht="21" customHeight="1" x14ac:dyDescent="0.3">
      <c r="B8" s="54" t="s">
        <v>46</v>
      </c>
      <c r="C8" s="55"/>
      <c r="D8" s="18" t="s">
        <v>61</v>
      </c>
      <c r="E8" s="19">
        <v>5192</v>
      </c>
      <c r="F8" s="20" t="s">
        <v>62</v>
      </c>
      <c r="G8" s="21"/>
      <c r="H8" s="125" t="s">
        <v>9</v>
      </c>
      <c r="I8" s="126"/>
      <c r="J8" s="127" t="s">
        <v>73</v>
      </c>
      <c r="K8" s="128"/>
      <c r="L8" s="129"/>
      <c r="N8" s="8" t="s">
        <v>3</v>
      </c>
    </row>
    <row r="9" spans="2:16" ht="21" customHeight="1" x14ac:dyDescent="0.3">
      <c r="B9" s="54" t="s">
        <v>48</v>
      </c>
      <c r="C9" s="55"/>
      <c r="D9" s="133" t="s">
        <v>18</v>
      </c>
      <c r="E9" s="134"/>
      <c r="F9" s="135"/>
      <c r="G9" s="135"/>
      <c r="H9" s="135"/>
      <c r="I9" s="22"/>
      <c r="J9" s="22"/>
      <c r="K9" s="22"/>
      <c r="L9" s="23"/>
      <c r="N9" s="8" t="s">
        <v>45</v>
      </c>
    </row>
    <row r="10" spans="2:16" ht="22.5" customHeight="1" x14ac:dyDescent="0.3">
      <c r="B10" s="88" t="s">
        <v>19</v>
      </c>
      <c r="C10" s="89"/>
      <c r="D10" s="130" t="str">
        <f>" 일금 "&amp;NUMBERSTRING($K$30,1)&amp;"원정"&amp;" ("&amp;DOLLAR($K$30)&amp;") - 부가가치세 별도"</f>
        <v xml:space="preserve"> 일금 이천오백만원정 (₩25,000,000) - 부가가치세 별도</v>
      </c>
      <c r="E10" s="131"/>
      <c r="F10" s="131"/>
      <c r="G10" s="131"/>
      <c r="H10" s="131"/>
      <c r="I10" s="131"/>
      <c r="J10" s="131"/>
      <c r="K10" s="131"/>
      <c r="L10" s="132"/>
      <c r="M10" s="4"/>
      <c r="N10" s="7" t="s">
        <v>18</v>
      </c>
      <c r="O10" s="4"/>
    </row>
    <row r="11" spans="2:16" ht="22.5" customHeight="1" x14ac:dyDescent="0.3">
      <c r="B11" s="171"/>
      <c r="C11" s="172"/>
      <c r="D11" s="173" t="s">
        <v>74</v>
      </c>
      <c r="E11" s="174"/>
      <c r="F11" s="174"/>
      <c r="G11" s="174"/>
      <c r="H11" s="174"/>
      <c r="I11" s="174"/>
      <c r="J11" s="174"/>
      <c r="K11" s="174"/>
      <c r="L11" s="174"/>
      <c r="M11" s="4"/>
      <c r="N11" s="7"/>
      <c r="O11" s="4"/>
    </row>
    <row r="12" spans="2:16" ht="18" customHeight="1" x14ac:dyDescent="0.2">
      <c r="B12" s="88" t="s">
        <v>22</v>
      </c>
      <c r="C12" s="89"/>
      <c r="D12" s="92" t="str">
        <f>IF($J$12=0.5,"  ■ 용역내용 :  ☑구조계산서(50%)   □구조도면(50%)","  ■ 용역내용 :  ☑구조계산서(50%)   ☑구조도면(50%)")</f>
        <v xml:space="preserve">  ■ 용역내용 :  ☑구조계산서(50%)   □구조도면(50%)</v>
      </c>
      <c r="E12" s="93"/>
      <c r="F12" s="93"/>
      <c r="G12" s="93"/>
      <c r="H12" s="93"/>
      <c r="I12" s="24" t="s">
        <v>63</v>
      </c>
      <c r="J12" s="25">
        <v>0.5</v>
      </c>
      <c r="K12" s="26"/>
      <c r="L12" s="27"/>
      <c r="N12" s="8" t="s">
        <v>16</v>
      </c>
    </row>
    <row r="13" spans="2:16" ht="15" customHeight="1" x14ac:dyDescent="0.3">
      <c r="B13" s="90"/>
      <c r="C13" s="91"/>
      <c r="D13" s="94" t="s">
        <v>64</v>
      </c>
      <c r="E13" s="95"/>
      <c r="F13" s="95"/>
      <c r="G13" s="95"/>
      <c r="H13" s="95"/>
      <c r="I13" s="95"/>
      <c r="J13" s="95"/>
      <c r="K13" s="95"/>
      <c r="L13" s="96"/>
      <c r="N13" s="8" t="s">
        <v>17</v>
      </c>
    </row>
    <row r="14" spans="2:16" ht="18" customHeight="1" x14ac:dyDescent="0.3">
      <c r="B14" s="90"/>
      <c r="C14" s="91"/>
      <c r="D14" s="97"/>
      <c r="E14" s="98"/>
      <c r="F14" s="98"/>
      <c r="G14" s="98"/>
      <c r="H14" s="98"/>
      <c r="I14" s="98"/>
      <c r="J14" s="98"/>
      <c r="K14" s="99"/>
      <c r="L14" s="100"/>
      <c r="N14" s="8" t="s">
        <v>47</v>
      </c>
    </row>
    <row r="15" spans="2:16" ht="21" customHeight="1" x14ac:dyDescent="0.3">
      <c r="B15" s="90"/>
      <c r="C15" s="91"/>
      <c r="D15" s="14" t="s">
        <v>30</v>
      </c>
      <c r="E15" s="101" t="s">
        <v>44</v>
      </c>
      <c r="F15" s="102"/>
      <c r="G15" s="102"/>
      <c r="H15" s="102"/>
      <c r="I15" s="102"/>
      <c r="J15" s="103"/>
      <c r="K15" s="101" t="s">
        <v>20</v>
      </c>
      <c r="L15" s="104"/>
      <c r="N15" s="8" t="s">
        <v>32</v>
      </c>
    </row>
    <row r="16" spans="2:16" ht="15" customHeight="1" x14ac:dyDescent="0.25">
      <c r="B16" s="90"/>
      <c r="C16" s="91"/>
      <c r="D16" s="105" t="s">
        <v>24</v>
      </c>
      <c r="E16" s="108" t="s">
        <v>11</v>
      </c>
      <c r="F16" s="109"/>
      <c r="G16" s="109"/>
      <c r="H16" s="28">
        <v>1</v>
      </c>
      <c r="I16" s="29"/>
      <c r="J16" s="30"/>
      <c r="K16" s="110"/>
      <c r="L16" s="111"/>
      <c r="N16" s="8" t="s">
        <v>28</v>
      </c>
      <c r="O16" s="8">
        <v>0.9</v>
      </c>
      <c r="P16" s="8"/>
    </row>
    <row r="17" spans="2:17" ht="15" customHeight="1" x14ac:dyDescent="0.3">
      <c r="B17" s="90"/>
      <c r="C17" s="91"/>
      <c r="D17" s="106"/>
      <c r="E17" s="112" t="s">
        <v>50</v>
      </c>
      <c r="F17" s="113"/>
      <c r="G17" s="113"/>
      <c r="H17" s="31">
        <v>1.2</v>
      </c>
      <c r="I17" s="32"/>
      <c r="J17" s="33"/>
      <c r="K17" s="114" t="s">
        <v>27</v>
      </c>
      <c r="L17" s="115"/>
      <c r="N17" s="8">
        <v>0.8</v>
      </c>
      <c r="O17" s="8"/>
      <c r="P17" s="8"/>
    </row>
    <row r="18" spans="2:17" ht="13.5" customHeight="1" x14ac:dyDescent="0.3">
      <c r="B18" s="90"/>
      <c r="C18" s="91"/>
      <c r="D18" s="106"/>
      <c r="E18" s="116" t="str">
        <f>IF($E$8&lt;=1000,"{18}",IF($E$8&lt;=2000,"{18+0.012×("&amp;$E$8&amp;"-1,000)}",IF($E$8&lt;=5000,"{30+0.01×("&amp;$E$8&amp;"-2,000)}",IF($E$8&lt;=15000,"{60+0.009×("&amp;$E$8&amp;"-5,000)}",IF($E$8&lt;=50000,"{150+0.008×("&amp;$E$8&amp;"-15,000)}",IF($E$8&lt;=100000,"{430+0.007×("&amp;$E$8&amp;"-50,000)}",IF($E$8&gt;100000,"{780+0.006×("&amp;$E$8&amp;"-100,000)}","")))))))</f>
        <v>{60+0.009×(5192-5,000)}</v>
      </c>
      <c r="F18" s="117"/>
      <c r="G18" s="117"/>
      <c r="H18" s="117"/>
      <c r="I18" s="117"/>
      <c r="J18" s="118"/>
      <c r="K18">
        <f>H19</f>
        <v>37</v>
      </c>
      <c r="L18" s="34" t="s">
        <v>13</v>
      </c>
      <c r="N18" s="8">
        <v>1</v>
      </c>
      <c r="O18" s="5">
        <v>1.1000000000000001</v>
      </c>
      <c r="P18" s="8"/>
    </row>
    <row r="19" spans="2:17" ht="16.5" customHeight="1" x14ac:dyDescent="0.3">
      <c r="B19" s="90"/>
      <c r="C19" s="91"/>
      <c r="D19" s="107"/>
      <c r="E19" s="119" t="str">
        <f>"x "&amp;$H$16&amp;" x "&amp;$H$17&amp;" x "&amp;$J$12&amp;" ="</f>
        <v>x 1 x 1.2 x 0.5 =</v>
      </c>
      <c r="F19" s="120"/>
      <c r="G19" s="120"/>
      <c r="H19" s="121">
        <f>ROUND((ROUND(IF($E$8&lt;=1000,18,IF($E$8&lt;=2000,18+0.012*($E$8-1000),IF($E$8&lt;=5000,30+0.01*($E$8-2000),IF($E$8&lt;=15000,60+0.009*($E$8-5000),IF($E$8&lt;=50000,150+0.008*($E$8-15000),IF($E$8&lt;=100000,430+0.007*($E$8-50000),IF($E$8&gt;100000,780+0.006*($E$8-100000),""))))))),0))*$H$16*$H$17*$J$12,0)</f>
        <v>37</v>
      </c>
      <c r="I19" s="121"/>
      <c r="J19" s="35"/>
      <c r="K19" s="122" t="s">
        <v>52</v>
      </c>
      <c r="L19" s="123"/>
      <c r="N19" s="8">
        <v>1.2</v>
      </c>
      <c r="O19" s="8"/>
      <c r="P19" s="5"/>
      <c r="Q19" s="5"/>
    </row>
    <row r="20" spans="2:17" ht="21" customHeight="1" x14ac:dyDescent="0.3">
      <c r="B20" s="90"/>
      <c r="C20" s="91"/>
      <c r="D20" s="15" t="s">
        <v>8</v>
      </c>
      <c r="E20" s="124" t="str">
        <f>$K$18&amp;" × 310,884(고급기술자)"&amp;" (①)"</f>
        <v>37 × 310,884(고급기술자) (①)</v>
      </c>
      <c r="F20" s="76"/>
      <c r="G20" s="76"/>
      <c r="H20" s="76"/>
      <c r="I20" s="76"/>
      <c r="J20" s="77"/>
      <c r="K20" s="70">
        <f>$K$18*310884</f>
        <v>11502708</v>
      </c>
      <c r="L20" s="71"/>
      <c r="N20" s="8">
        <v>1.25</v>
      </c>
      <c r="O20" s="8">
        <v>0.5</v>
      </c>
      <c r="P20" s="8"/>
    </row>
    <row r="21" spans="2:17" ht="21" customHeight="1" x14ac:dyDescent="0.3">
      <c r="B21" s="90"/>
      <c r="C21" s="91"/>
      <c r="D21" s="72" t="s">
        <v>7</v>
      </c>
      <c r="E21" s="78" t="s">
        <v>58</v>
      </c>
      <c r="F21" s="79"/>
      <c r="G21" s="80" t="s">
        <v>12</v>
      </c>
      <c r="H21" s="80"/>
      <c r="I21" s="80"/>
      <c r="J21" s="80"/>
      <c r="K21" s="81">
        <v>500000</v>
      </c>
      <c r="L21" s="82"/>
      <c r="N21" s="8">
        <v>1.5</v>
      </c>
      <c r="O21" s="8">
        <v>1</v>
      </c>
      <c r="P21" s="8"/>
    </row>
    <row r="22" spans="2:17" ht="21" customHeight="1" x14ac:dyDescent="0.3">
      <c r="B22" s="90"/>
      <c r="C22" s="91"/>
      <c r="D22" s="72"/>
      <c r="E22" s="78" t="s">
        <v>59</v>
      </c>
      <c r="F22" s="79"/>
      <c r="G22" s="80" t="s">
        <v>12</v>
      </c>
      <c r="H22" s="80"/>
      <c r="I22" s="80"/>
      <c r="J22" s="80"/>
      <c r="K22" s="70">
        <v>0</v>
      </c>
      <c r="L22" s="83"/>
      <c r="N22" s="8"/>
      <c r="O22" s="6"/>
    </row>
    <row r="23" spans="2:17" ht="21" customHeight="1" x14ac:dyDescent="0.3">
      <c r="B23" s="90"/>
      <c r="C23" s="91"/>
      <c r="D23" s="72"/>
      <c r="E23" s="78" t="s">
        <v>53</v>
      </c>
      <c r="F23" s="79"/>
      <c r="G23" s="84" t="s">
        <v>6</v>
      </c>
      <c r="H23" s="85"/>
      <c r="I23" s="16">
        <v>0</v>
      </c>
      <c r="J23" s="17" t="s">
        <v>14</v>
      </c>
      <c r="K23" s="86">
        <f>15000000*$I$23</f>
        <v>0</v>
      </c>
      <c r="L23" s="83"/>
    </row>
    <row r="24" spans="2:17" ht="21" customHeight="1" x14ac:dyDescent="0.3">
      <c r="B24" s="90"/>
      <c r="C24" s="91"/>
      <c r="D24" s="72"/>
      <c r="E24" s="78" t="s">
        <v>54</v>
      </c>
      <c r="F24" s="87"/>
      <c r="G24" s="87"/>
      <c r="H24" s="87"/>
      <c r="I24" s="87"/>
      <c r="J24" s="79"/>
      <c r="K24" s="70">
        <f>SUM($K$21:$L$23)</f>
        <v>500000</v>
      </c>
      <c r="L24" s="71"/>
    </row>
    <row r="25" spans="2:17" ht="21" customHeight="1" x14ac:dyDescent="0.3">
      <c r="B25" s="90"/>
      <c r="C25" s="91"/>
      <c r="D25" s="15" t="s">
        <v>49</v>
      </c>
      <c r="E25" s="76" t="s">
        <v>36</v>
      </c>
      <c r="F25" s="76"/>
      <c r="G25" s="76"/>
      <c r="H25" s="76"/>
      <c r="I25" s="76"/>
      <c r="J25" s="77"/>
      <c r="K25" s="70">
        <f>$K$20*1.1</f>
        <v>12652978.800000001</v>
      </c>
      <c r="L25" s="71"/>
    </row>
    <row r="26" spans="2:17" ht="21" customHeight="1" x14ac:dyDescent="0.3">
      <c r="B26" s="90"/>
      <c r="C26" s="91"/>
      <c r="D26" s="15" t="s">
        <v>51</v>
      </c>
      <c r="E26" s="76" t="s">
        <v>4</v>
      </c>
      <c r="F26" s="76"/>
      <c r="G26" s="76"/>
      <c r="H26" s="76"/>
      <c r="I26" s="76"/>
      <c r="J26" s="77"/>
      <c r="K26" s="70">
        <f>($K$20+$K$25)*0.2</f>
        <v>4831137.3600000003</v>
      </c>
      <c r="L26" s="71"/>
    </row>
    <row r="27" spans="2:17" ht="21" customHeight="1" x14ac:dyDescent="0.3">
      <c r="B27" s="90"/>
      <c r="C27" s="91"/>
      <c r="D27" s="72" t="s">
        <v>37</v>
      </c>
      <c r="E27" s="72"/>
      <c r="F27" s="72"/>
      <c r="G27" s="72"/>
      <c r="H27" s="72"/>
      <c r="I27" s="72"/>
      <c r="J27" s="72"/>
      <c r="K27" s="70">
        <f>$K$20+$K$25+$K$26</f>
        <v>28986824.16</v>
      </c>
      <c r="L27" s="71"/>
    </row>
    <row r="28" spans="2:17" ht="21" customHeight="1" x14ac:dyDescent="0.3">
      <c r="B28" s="90"/>
      <c r="C28" s="91"/>
      <c r="D28" s="68" t="s">
        <v>55</v>
      </c>
      <c r="E28" s="69"/>
      <c r="F28" s="69"/>
      <c r="G28" s="69"/>
      <c r="H28" s="11">
        <v>87</v>
      </c>
      <c r="I28" s="12" t="s">
        <v>26</v>
      </c>
      <c r="J28" s="9"/>
      <c r="K28" s="70">
        <f>$K$27*$H$28/100+$K$24</f>
        <v>25718537.019200001</v>
      </c>
      <c r="L28" s="71"/>
      <c r="P28">
        <f>E8/3.3</f>
        <v>1573.3333333333335</v>
      </c>
      <c r="Q28">
        <f>K30/P28</f>
        <v>15889.830520677966</v>
      </c>
    </row>
    <row r="29" spans="2:17" ht="21" customHeight="1" x14ac:dyDescent="0.3">
      <c r="B29" s="90"/>
      <c r="C29" s="91"/>
      <c r="D29" s="72" t="s">
        <v>23</v>
      </c>
      <c r="E29" s="72"/>
      <c r="F29" s="72"/>
      <c r="G29" s="72"/>
      <c r="H29" s="72"/>
      <c r="I29" s="72"/>
      <c r="J29" s="72"/>
      <c r="K29" s="70" t="str">
        <f>RIGHT(TEXT($K$28,"0,000"),7)</f>
        <v>718,537</v>
      </c>
      <c r="L29" s="71"/>
      <c r="Q29" s="10"/>
    </row>
    <row r="30" spans="2:17" ht="24" customHeight="1" x14ac:dyDescent="0.3">
      <c r="B30" s="90"/>
      <c r="C30" s="91"/>
      <c r="D30" s="73" t="s">
        <v>56</v>
      </c>
      <c r="E30" s="73"/>
      <c r="F30" s="73"/>
      <c r="G30" s="73"/>
      <c r="H30" s="73"/>
      <c r="I30" s="73"/>
      <c r="J30" s="73"/>
      <c r="K30" s="74">
        <f>$K$28-$K$29</f>
        <v>25000000.019200001</v>
      </c>
      <c r="L30" s="75"/>
    </row>
    <row r="31" spans="2:17" ht="21" customHeight="1" x14ac:dyDescent="0.3">
      <c r="B31" s="54" t="s">
        <v>10</v>
      </c>
      <c r="C31" s="55"/>
      <c r="D31" s="56" t="s">
        <v>60</v>
      </c>
      <c r="E31" s="56"/>
      <c r="F31" s="56"/>
      <c r="G31" s="56"/>
      <c r="H31" s="56"/>
      <c r="I31" s="56"/>
      <c r="J31" s="56"/>
      <c r="K31" s="57"/>
      <c r="L31" s="58"/>
      <c r="P31" s="1"/>
    </row>
    <row r="32" spans="2:17" ht="75.75" customHeight="1" x14ac:dyDescent="0.3">
      <c r="B32" s="59" t="s">
        <v>5</v>
      </c>
      <c r="C32" s="60"/>
      <c r="D32" s="61" t="s">
        <v>75</v>
      </c>
      <c r="E32" s="62"/>
      <c r="F32" s="62"/>
      <c r="G32" s="62"/>
      <c r="H32" s="62"/>
      <c r="I32" s="62"/>
      <c r="J32" s="62"/>
      <c r="K32" s="62"/>
      <c r="L32" s="63"/>
      <c r="P32" t="s">
        <v>15</v>
      </c>
    </row>
    <row r="33" spans="2:12" ht="30" customHeight="1" x14ac:dyDescent="0.3">
      <c r="B33" s="64"/>
      <c r="C33" s="65"/>
      <c r="D33" s="65"/>
      <c r="E33" s="65"/>
      <c r="F33" s="65"/>
      <c r="G33" s="66" t="s">
        <v>76</v>
      </c>
      <c r="H33" s="66"/>
      <c r="I33" s="66"/>
      <c r="J33" s="66"/>
      <c r="K33" s="66"/>
      <c r="L33" s="67"/>
    </row>
    <row r="34" spans="2:12" ht="19.5" customHeight="1" x14ac:dyDescent="0.15">
      <c r="B34" s="47"/>
      <c r="C34" s="48" t="s">
        <v>40</v>
      </c>
      <c r="D34" s="48"/>
      <c r="E34" s="48"/>
      <c r="F34" s="48"/>
      <c r="G34" s="49" t="s">
        <v>2</v>
      </c>
      <c r="H34" s="49"/>
      <c r="I34" s="49"/>
      <c r="J34" s="49"/>
      <c r="K34" s="49"/>
      <c r="L34" s="50"/>
    </row>
    <row r="35" spans="2:12" ht="18" customHeight="1" x14ac:dyDescent="0.3">
      <c r="B35" s="47"/>
      <c r="C35" s="51" t="s">
        <v>0</v>
      </c>
      <c r="D35" s="51"/>
      <c r="E35" s="51"/>
      <c r="F35" s="51"/>
      <c r="G35" s="52" t="s">
        <v>42</v>
      </c>
      <c r="H35" s="52"/>
      <c r="I35" s="52"/>
      <c r="J35" s="52"/>
      <c r="K35" s="52"/>
      <c r="L35" s="53"/>
    </row>
    <row r="36" spans="2:12" ht="15" customHeight="1" x14ac:dyDescent="0.3">
      <c r="B36" s="42" t="s">
        <v>38</v>
      </c>
      <c r="C36" s="43"/>
      <c r="D36" s="43"/>
      <c r="E36" s="43"/>
      <c r="F36" s="43"/>
      <c r="G36" s="44" t="s">
        <v>41</v>
      </c>
      <c r="H36" s="44"/>
      <c r="I36" s="44"/>
      <c r="J36" s="44"/>
      <c r="K36" s="45" t="s">
        <v>57</v>
      </c>
      <c r="L36" s="46"/>
    </row>
    <row r="37" spans="2:12" ht="15" customHeight="1" x14ac:dyDescent="0.3">
      <c r="B37" s="42" t="s">
        <v>1</v>
      </c>
      <c r="C37" s="43"/>
      <c r="D37" s="43"/>
      <c r="E37" s="43"/>
      <c r="F37" s="43"/>
      <c r="G37" s="44" t="s">
        <v>35</v>
      </c>
      <c r="H37" s="44"/>
      <c r="I37" s="44"/>
      <c r="J37" s="44"/>
      <c r="K37" s="45"/>
      <c r="L37" s="46"/>
    </row>
    <row r="38" spans="2:12" ht="10.5" customHeight="1" x14ac:dyDescent="0.3">
      <c r="B38" s="36"/>
      <c r="C38" s="37"/>
      <c r="D38" s="37"/>
      <c r="E38" s="37"/>
      <c r="F38" s="37"/>
      <c r="G38" s="37"/>
      <c r="H38" s="38"/>
      <c r="I38" s="38"/>
      <c r="J38" s="38"/>
      <c r="K38" s="13"/>
      <c r="L38" s="3"/>
    </row>
    <row r="39" spans="2:12" ht="24" customHeight="1" x14ac:dyDescent="0.3">
      <c r="B39" s="39" t="s">
        <v>65</v>
      </c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2:12" ht="5.25" customHeight="1" x14ac:dyDescent="0.3"/>
  </sheetData>
  <mergeCells count="84">
    <mergeCell ref="B7:C7"/>
    <mergeCell ref="D7:L7"/>
    <mergeCell ref="B5:C5"/>
    <mergeCell ref="D5:G5"/>
    <mergeCell ref="H5:I5"/>
    <mergeCell ref="J5:L5"/>
    <mergeCell ref="B6:C6"/>
    <mergeCell ref="D6:L6"/>
    <mergeCell ref="B2:C2"/>
    <mergeCell ref="D2:L3"/>
    <mergeCell ref="B3:C3"/>
    <mergeCell ref="B4:C4"/>
    <mergeCell ref="D4:G4"/>
    <mergeCell ref="H4:I4"/>
    <mergeCell ref="J4:L4"/>
    <mergeCell ref="B8:C8"/>
    <mergeCell ref="H8:I8"/>
    <mergeCell ref="J8:L8"/>
    <mergeCell ref="B9:C9"/>
    <mergeCell ref="D10:L10"/>
    <mergeCell ref="D9:E9"/>
    <mergeCell ref="F9:H9"/>
    <mergeCell ref="B10:C11"/>
    <mergeCell ref="D11:L11"/>
    <mergeCell ref="B12:C30"/>
    <mergeCell ref="D12:H12"/>
    <mergeCell ref="D13:L13"/>
    <mergeCell ref="D14:L14"/>
    <mergeCell ref="E15:J15"/>
    <mergeCell ref="K15:L15"/>
    <mergeCell ref="D16:D19"/>
    <mergeCell ref="E16:G16"/>
    <mergeCell ref="K16:L16"/>
    <mergeCell ref="E17:G17"/>
    <mergeCell ref="K17:L17"/>
    <mergeCell ref="E18:J18"/>
    <mergeCell ref="E19:G19"/>
    <mergeCell ref="H19:I19"/>
    <mergeCell ref="K19:L19"/>
    <mergeCell ref="E20:J20"/>
    <mergeCell ref="K20:L20"/>
    <mergeCell ref="D21:D24"/>
    <mergeCell ref="E21:F21"/>
    <mergeCell ref="G21:J21"/>
    <mergeCell ref="K21:L21"/>
    <mergeCell ref="E22:F22"/>
    <mergeCell ref="G22:J22"/>
    <mergeCell ref="K22:L22"/>
    <mergeCell ref="E23:F23"/>
    <mergeCell ref="G23:H23"/>
    <mergeCell ref="K23:L23"/>
    <mergeCell ref="E24:J24"/>
    <mergeCell ref="K24:L24"/>
    <mergeCell ref="E25:J25"/>
    <mergeCell ref="K25:L25"/>
    <mergeCell ref="E26:J26"/>
    <mergeCell ref="K26:L26"/>
    <mergeCell ref="D27:J27"/>
    <mergeCell ref="K27:L27"/>
    <mergeCell ref="D28:G28"/>
    <mergeCell ref="K28:L28"/>
    <mergeCell ref="D29:J29"/>
    <mergeCell ref="K29:L29"/>
    <mergeCell ref="D30:J30"/>
    <mergeCell ref="K30:L30"/>
    <mergeCell ref="B31:C31"/>
    <mergeCell ref="D31:L31"/>
    <mergeCell ref="B32:C32"/>
    <mergeCell ref="D32:L32"/>
    <mergeCell ref="B33:F33"/>
    <mergeCell ref="G33:L33"/>
    <mergeCell ref="B34:B35"/>
    <mergeCell ref="C34:F34"/>
    <mergeCell ref="G34:L34"/>
    <mergeCell ref="C35:F35"/>
    <mergeCell ref="G35:L35"/>
    <mergeCell ref="B38:G38"/>
    <mergeCell ref="H38:J38"/>
    <mergeCell ref="B39:L39"/>
    <mergeCell ref="B36:F36"/>
    <mergeCell ref="G36:J36"/>
    <mergeCell ref="K36:L37"/>
    <mergeCell ref="B37:F37"/>
    <mergeCell ref="G37:J37"/>
  </mergeCells>
  <phoneticPr fontId="18" type="noConversion"/>
  <dataValidations count="5">
    <dataValidation type="list" allowBlank="1" showInputMessage="1" showErrorMessage="1" sqref="J12">
      <formula1>$O$20:$O$21</formula1>
    </dataValidation>
    <dataValidation type="list" allowBlank="1" showInputMessage="1" showErrorMessage="1" sqref="D9">
      <formula1>$N$8:$N$16</formula1>
    </dataValidation>
    <dataValidation type="list" allowBlank="1" showInputMessage="1" showErrorMessage="1" sqref="J16">
      <formula1>$O$16:$O$19</formula1>
    </dataValidation>
    <dataValidation type="list" allowBlank="1" showInputMessage="1" showErrorMessage="1" sqref="H17:I17">
      <formula1>$N$17:$N$21</formula1>
    </dataValidation>
    <dataValidation type="list" allowBlank="1" showInputMessage="1" showErrorMessage="1" sqref="H16:I16">
      <formula1>$O$16:$O$179</formula1>
    </dataValidation>
  </dataValidations>
  <pageMargins left="0" right="0.56000000238418579" top="0.59041666984558105" bottom="0.38999998569488525" header="0.17000000178813934" footer="0"/>
  <pageSetup paperSize="9" scale="9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구조검토</vt:lpstr>
      <vt:lpstr>구조검토!Print_Area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김봉준</dc:creator>
  <cp:lastModifiedBy>김봉준</cp:lastModifiedBy>
  <cp:revision>10</cp:revision>
  <cp:lastPrinted>2026-01-09T05:45:22Z</cp:lastPrinted>
  <dcterms:created xsi:type="dcterms:W3CDTF">2008-09-30T14:09:28Z</dcterms:created>
  <dcterms:modified xsi:type="dcterms:W3CDTF">2026-01-09T05:49:45Z</dcterms:modified>
  <cp:version>1300.0100.01</cp:version>
</cp:coreProperties>
</file>